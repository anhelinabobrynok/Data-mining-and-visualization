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одель" sheetId="1" state="visible" r:id="rId1"/>
    <sheet xmlns:r="http://schemas.openxmlformats.org/officeDocument/2006/relationships" name="Звіт (розрахунок Python)" sheetId="2" state="visible" r:id="rId2"/>
  </sheets>
  <definedNames>
    <definedName name="solver_opt" localSheetId="0" hidden="1">'Модель'!$B$14</definedName>
    <definedName name="solver_typ" localSheetId="0" hidden="1">1</definedName>
    <definedName name="solver_val" localSheetId="0" hidden="1">0</definedName>
    <definedName name="solver_adj" localSheetId="0" hidden="1">'Модель'!$B$12:$E$12</definedName>
    <definedName name="solver_num" localSheetId="0" hidden="1">1</definedName>
    <definedName name="solver_lhs1" localSheetId="0" hidden="1">'Модель'!$F$5:$F$9</definedName>
    <definedName name="solver_rel1" localSheetId="0" hidden="1">1</definedName>
    <definedName name="solver_rhs1" localSheetId="0" hidden="1">'Модель'!$H$5:$H$9</definedName>
    <definedName name="solver_neg" localSheetId="0" hidden="1">1</definedName>
    <definedName name="solver_eng" localSheetId="0" hidden="1">2</definedName>
    <definedName name="solver_lin" localSheetId="0" hidden="1">1</definedName>
    <definedName name="solver_ver" localSheetId="0" hidden="1">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  <sz val="12"/>
    </font>
    <font>
      <i val="1"/>
      <color rgb="00666666"/>
    </font>
    <font>
      <b val="1"/>
    </font>
    <font>
      <b val="1"/>
      <color rgb="00C00000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2" fontId="0" fillId="0" borderId="1" pivotButton="0" quotePrefix="0" xfId="0"/>
    <xf numFmtId="0" fontId="0" fillId="0" borderId="1" applyAlignment="1" pivotButton="0" quotePrefix="0" xfId="0">
      <alignment horizontal="center"/>
    </xf>
    <xf numFmtId="0" fontId="3" fillId="0" borderId="1" pivotButton="0" quotePrefix="0" xfId="0"/>
    <xf numFmtId="164" fontId="0" fillId="4" borderId="1" pivotButton="0" quotePrefix="0" xfId="0"/>
    <xf numFmtId="0" fontId="3" fillId="0" borderId="0" pivotButton="0" quotePrefix="0" xfId="0"/>
    <xf numFmtId="2" fontId="3" fillId="5" borderId="0" pivotButton="0" quotePrefix="0" xfId="0"/>
    <xf numFmtId="0" fontId="4" fillId="0" borderId="0" pivotButton="0" quotePrefix="0" xfId="0"/>
    <xf numFmtId="0" fontId="3" fillId="2" borderId="0" pivotButton="0" quotePrefix="0" xfId="0"/>
    <xf numFmtId="2" fontId="0" fillId="0" borderId="0" pivotButton="0" quotePrefix="0" xfId="0"/>
    <xf numFmtId="1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ЛР2. Виробнича задача, варіант 3 — «Карпатський дуб» (меблі, шт./тиждень). Бобринок А. В., ШІ-32</t>
        </is>
      </c>
    </row>
    <row r="2">
      <c r="A2" s="2" t="inlineStr">
        <is>
          <t>жовте — вхідні дані (параметри), зелене — змінні рішення, рожеве — цільова функція</t>
        </is>
      </c>
    </row>
    <row r="4">
      <c r="A4" s="3" t="inlineStr">
        <is>
          <t>Ресурс / виріб</t>
        </is>
      </c>
      <c r="B4" s="3" t="inlineStr">
        <is>
          <t>Крісло</t>
        </is>
      </c>
      <c r="C4" s="3" t="inlineStr">
        <is>
          <t>Стілець</t>
        </is>
      </c>
      <c r="D4" s="3" t="inlineStr">
        <is>
          <t>Табурет</t>
        </is>
      </c>
      <c r="E4" s="3" t="inlineStr">
        <is>
          <t>Лава</t>
        </is>
      </c>
      <c r="F4" s="3" t="inlineStr">
        <is>
          <t>Використано</t>
        </is>
      </c>
      <c r="G4" s="3" t="inlineStr"/>
      <c r="H4" s="3" t="inlineStr">
        <is>
          <t>Запас</t>
        </is>
      </c>
      <c r="I4" s="3" t="inlineStr">
        <is>
          <t>Залишок</t>
        </is>
      </c>
    </row>
    <row r="5">
      <c r="A5" s="4" t="inlineStr">
        <is>
          <t>Дубовий брус, м</t>
        </is>
      </c>
      <c r="B5" s="5" t="n">
        <v>5</v>
      </c>
      <c r="C5" s="5" t="n">
        <v>2</v>
      </c>
      <c r="D5" s="5" t="n">
        <v>6</v>
      </c>
      <c r="E5" s="5" t="n">
        <v>6</v>
      </c>
      <c r="F5" s="6">
        <f>SUMPRODUCT(B5:E5,$B$12:$E$12)</f>
        <v/>
      </c>
      <c r="G5" s="7" t="inlineStr">
        <is>
          <t>&lt;=</t>
        </is>
      </c>
      <c r="H5" s="5" t="n">
        <v>1189</v>
      </c>
      <c r="I5" s="6">
        <f>H5-F5</f>
        <v/>
      </c>
    </row>
    <row r="6">
      <c r="A6" s="4" t="inlineStr">
        <is>
          <t>Фанера, м²</t>
        </is>
      </c>
      <c r="B6" s="5" t="n">
        <v>3</v>
      </c>
      <c r="C6" s="5" t="n">
        <v>4</v>
      </c>
      <c r="D6" s="5" t="n">
        <v>3</v>
      </c>
      <c r="E6" s="5" t="n">
        <v>6</v>
      </c>
      <c r="F6" s="6">
        <f>SUMPRODUCT(B6:E6,$B$12:$E$12)</f>
        <v/>
      </c>
      <c r="G6" s="7" t="inlineStr">
        <is>
          <t>&lt;=</t>
        </is>
      </c>
      <c r="H6" s="5" t="n">
        <v>686</v>
      </c>
      <c r="I6" s="6">
        <f>H6-F6</f>
        <v/>
      </c>
    </row>
    <row r="7">
      <c r="A7" s="4" t="inlineStr">
        <is>
          <t>Фурнітура, компл.</t>
        </is>
      </c>
      <c r="B7" s="5" t="n">
        <v>1</v>
      </c>
      <c r="C7" s="5" t="n">
        <v>6</v>
      </c>
      <c r="D7" s="5" t="n">
        <v>6</v>
      </c>
      <c r="E7" s="5" t="n">
        <v>0</v>
      </c>
      <c r="F7" s="6">
        <f>SUMPRODUCT(B7:E7,$B$12:$E$12)</f>
        <v/>
      </c>
      <c r="G7" s="7" t="inlineStr">
        <is>
          <t>&lt;=</t>
        </is>
      </c>
      <c r="H7" s="5" t="n">
        <v>1311</v>
      </c>
      <c r="I7" s="6">
        <f>H7-F7</f>
        <v/>
      </c>
    </row>
    <row r="8">
      <c r="A8" s="4" t="inlineStr">
        <is>
          <t>Верстат, год</t>
        </is>
      </c>
      <c r="B8" s="5" t="n">
        <v>3</v>
      </c>
      <c r="C8" s="5" t="n">
        <v>1</v>
      </c>
      <c r="D8" s="5" t="n">
        <v>6</v>
      </c>
      <c r="E8" s="5" t="n">
        <v>1</v>
      </c>
      <c r="F8" s="6">
        <f>SUMPRODUCT(B8:E8,$B$12:$E$12)</f>
        <v/>
      </c>
      <c r="G8" s="7" t="inlineStr">
        <is>
          <t>&lt;=</t>
        </is>
      </c>
      <c r="H8" s="5" t="n">
        <v>512</v>
      </c>
      <c r="I8" s="6">
        <f>H8-F8</f>
        <v/>
      </c>
    </row>
    <row r="9">
      <c r="A9" s="4" t="inlineStr">
        <is>
          <t>Лакування, год</t>
        </is>
      </c>
      <c r="B9" s="5" t="n">
        <v>4</v>
      </c>
      <c r="C9" s="5" t="n">
        <v>1</v>
      </c>
      <c r="D9" s="5" t="n">
        <v>1</v>
      </c>
      <c r="E9" s="5" t="n">
        <v>4</v>
      </c>
      <c r="F9" s="6">
        <f>SUMPRODUCT(B9:E9,$B$12:$E$12)</f>
        <v/>
      </c>
      <c r="G9" s="7" t="inlineStr">
        <is>
          <t>&lt;=</t>
        </is>
      </c>
      <c r="H9" s="5" t="n">
        <v>1030</v>
      </c>
      <c r="I9" s="6">
        <f>H9-F9</f>
        <v/>
      </c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</row>
    <row r="11">
      <c r="A11" s="8" t="inlineStr">
        <is>
          <t>Прибуток з одиниці</t>
        </is>
      </c>
      <c r="B11" s="5" t="n">
        <v>51</v>
      </c>
      <c r="C11" s="5" t="n">
        <v>16</v>
      </c>
      <c r="D11" s="5" t="n">
        <v>34</v>
      </c>
      <c r="E11" s="5" t="n">
        <v>22</v>
      </c>
      <c r="F11" s="4" t="n"/>
      <c r="G11" s="4" t="n"/>
      <c r="H11" s="4" t="n"/>
      <c r="I11" s="4" t="n"/>
    </row>
    <row r="12">
      <c r="A12" s="8" t="inlineStr">
        <is>
          <t>План випуску, шт./тиждень (змінні)</t>
        </is>
      </c>
      <c r="B12" s="9" t="n">
        <v>159.0666666667</v>
      </c>
      <c r="C12" s="9" t="n">
        <v>0</v>
      </c>
      <c r="D12" s="9" t="n">
        <v>0</v>
      </c>
      <c r="E12" s="9" t="n">
        <v>34.8</v>
      </c>
      <c r="F12" s="4" t="n"/>
      <c r="G12" s="4" t="n"/>
      <c r="H12" s="4" t="n"/>
      <c r="I12" s="4" t="n"/>
    </row>
    <row r="14">
      <c r="A14" s="10" t="inlineStr">
        <is>
          <t>Прибуток за тиждень (цільова, max)</t>
        </is>
      </c>
      <c r="B14" s="11">
        <f>SUMPRODUCT(B11:E11,B12:E12)</f>
        <v/>
      </c>
    </row>
    <row r="17">
      <c r="A17" s="10" t="inlineStr">
        <is>
          <t>Налаштування Пошуку рішення (Дані → Пошук рішення):</t>
        </is>
      </c>
    </row>
    <row r="18">
      <c r="A18" t="inlineStr">
        <is>
          <t>Цільова клітинка: $B$14 → Максимум</t>
        </is>
      </c>
    </row>
    <row r="19">
      <c r="A19" t="inlineStr">
        <is>
          <t>Змінювані клітинки: $B$12:$E$12</t>
        </is>
      </c>
    </row>
    <row r="20">
      <c r="A20" t="inlineStr">
        <is>
          <t>Обмеження: $F$5:$F$9 &lt;= $H$5:$H$9</t>
        </is>
      </c>
    </row>
    <row r="21">
      <c r="A21" t="inlineStr">
        <is>
          <t>Прапорець «Зробити змінні без обмежень невід’ємними» — увімкнено</t>
        </is>
      </c>
    </row>
    <row r="22">
      <c r="A22" t="inlineStr">
        <is>
          <t>Метод: «Симплекс-метод для лінійних задач»</t>
        </is>
      </c>
    </row>
    <row r="23">
      <c r="A23" t="inlineStr">
        <is>
          <t>Після «Розв’язати» → у списку звітів обрати «Звіт про стійкість» → ОК</t>
        </is>
      </c>
    </row>
    <row r="24">
      <c r="A24" s="12" t="inlineStr">
        <is>
          <t>СЮДИ вставити скріншот вікна налаштувань Пошуку рішення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1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Звіт про стійкість — довідкові значення, розраховані в Python (scipy/HiGHS)</t>
        </is>
      </c>
    </row>
    <row r="2">
      <c r="A2" s="2" t="inlineStr">
        <is>
          <t>Справжній «Звіт про стійкість 1» Excel створить окремим аркушем після запуску Пошуку рішення; числа мають збігтися з цими.</t>
        </is>
      </c>
    </row>
    <row r="4">
      <c r="A4" s="10" t="inlineStr">
        <is>
          <t>Змінні</t>
        </is>
      </c>
    </row>
    <row r="5">
      <c r="A5" s="13" t="inlineStr">
        <is>
          <t>Клітинка</t>
        </is>
      </c>
      <c r="B5" s="13" t="inlineStr">
        <is>
          <t>Ім’я</t>
        </is>
      </c>
      <c r="C5" s="13" t="inlineStr">
        <is>
          <t>Кінцеве значення</t>
        </is>
      </c>
      <c r="D5" s="13" t="inlineStr">
        <is>
          <t>Зведена вартість</t>
        </is>
      </c>
      <c r="E5" s="13" t="inlineStr">
        <is>
          <t>Цільовий коефіцієнт</t>
        </is>
      </c>
      <c r="F5" s="13" t="inlineStr">
        <is>
          <t>Допустиме збільшення</t>
        </is>
      </c>
      <c r="G5" s="13" t="inlineStr">
        <is>
          <t>Допустиме зменшення</t>
        </is>
      </c>
    </row>
    <row r="6">
      <c r="A6" t="inlineStr">
        <is>
          <t>$B$12</t>
        </is>
      </c>
      <c r="B6" t="inlineStr">
        <is>
          <t>План Крісло</t>
        </is>
      </c>
      <c r="C6" s="14" t="n">
        <v>159.0666667</v>
      </c>
      <c r="D6" s="14" t="n">
        <v>0</v>
      </c>
      <c r="E6" s="14" t="n">
        <v>51</v>
      </c>
      <c r="F6" s="14" t="n">
        <v>15</v>
      </c>
      <c r="G6" s="14" t="n">
        <v>29.5454545</v>
      </c>
    </row>
    <row r="7">
      <c r="A7" t="inlineStr">
        <is>
          <t>$C$12</t>
        </is>
      </c>
      <c r="B7" t="inlineStr">
        <is>
          <t>План Стілець</t>
        </is>
      </c>
      <c r="C7" s="14" t="n">
        <v>0</v>
      </c>
      <c r="D7" s="14" t="n">
        <v>-4</v>
      </c>
      <c r="E7" s="14" t="n">
        <v>16</v>
      </c>
      <c r="F7" s="14" t="n">
        <v>4</v>
      </c>
      <c r="G7" s="15" t="n">
        <v>1e+30</v>
      </c>
    </row>
    <row r="8">
      <c r="A8" t="inlineStr">
        <is>
          <t>$D$12</t>
        </is>
      </c>
      <c r="B8" t="inlineStr">
        <is>
          <t>План Табурет</t>
        </is>
      </c>
      <c r="C8" s="14" t="n">
        <v>0</v>
      </c>
      <c r="D8" s="14" t="n">
        <v>-65</v>
      </c>
      <c r="E8" s="14" t="n">
        <v>34</v>
      </c>
      <c r="F8" s="14" t="n">
        <v>65</v>
      </c>
      <c r="G8" s="15" t="n">
        <v>1e+30</v>
      </c>
    </row>
    <row r="9">
      <c r="A9" t="inlineStr">
        <is>
          <t>$E$12</t>
        </is>
      </c>
      <c r="B9" t="inlineStr">
        <is>
          <t>План Лава</t>
        </is>
      </c>
      <c r="C9" s="14" t="n">
        <v>34.8</v>
      </c>
      <c r="D9" s="14" t="n">
        <v>0</v>
      </c>
      <c r="E9" s="14" t="n">
        <v>22</v>
      </c>
      <c r="F9" s="14" t="n">
        <v>80</v>
      </c>
      <c r="G9" s="14" t="n">
        <v>5</v>
      </c>
    </row>
    <row r="10"/>
    <row r="11">
      <c r="A11" s="10" t="inlineStr">
        <is>
          <t>Обмеження</t>
        </is>
      </c>
    </row>
    <row r="12">
      <c r="A12" s="13" t="inlineStr">
        <is>
          <t>Клітинка</t>
        </is>
      </c>
      <c r="B12" s="13" t="inlineStr">
        <is>
          <t>Ім’я</t>
        </is>
      </c>
      <c r="C12" s="13" t="inlineStr">
        <is>
          <t>Кінцеве значення</t>
        </is>
      </c>
      <c r="D12" s="13" t="inlineStr">
        <is>
          <t>Тіньова ціна</t>
        </is>
      </c>
      <c r="E12" s="13" t="inlineStr">
        <is>
          <t>Обмеження Права частина</t>
        </is>
      </c>
      <c r="F12" s="13" t="inlineStr">
        <is>
          <t>Допустиме збільшення</t>
        </is>
      </c>
      <c r="G12" s="13" t="inlineStr">
        <is>
          <t>Допустиме зменшення</t>
        </is>
      </c>
    </row>
    <row r="13">
      <c r="A13" t="inlineStr">
        <is>
          <t>$F$5</t>
        </is>
      </c>
      <c r="B13" t="inlineStr">
        <is>
          <t>Дубовий брус, м Використано</t>
        </is>
      </c>
      <c r="C13" s="14" t="n">
        <v>1004.133333</v>
      </c>
      <c r="D13" s="14" t="n">
        <v>0</v>
      </c>
      <c r="E13" s="14" t="n">
        <v>1189</v>
      </c>
      <c r="F13" s="15" t="n">
        <v>1e+30</v>
      </c>
      <c r="G13" s="14" t="n">
        <v>184.8666667</v>
      </c>
    </row>
    <row r="14">
      <c r="A14" t="inlineStr">
        <is>
          <t>$F$6</t>
        </is>
      </c>
      <c r="B14" t="inlineStr">
        <is>
          <t>Фанера, м² Використано</t>
        </is>
      </c>
      <c r="C14" s="14" t="n">
        <v>686</v>
      </c>
      <c r="D14" s="14" t="n">
        <v>1</v>
      </c>
      <c r="E14" s="14" t="n">
        <v>686</v>
      </c>
      <c r="F14" s="14" t="n">
        <v>213.3076923</v>
      </c>
      <c r="G14" s="14" t="n">
        <v>174</v>
      </c>
    </row>
    <row r="15">
      <c r="A15" t="inlineStr">
        <is>
          <t>$F$7</t>
        </is>
      </c>
      <c r="B15" t="inlineStr">
        <is>
          <t>Фурнітура, компл. Використано</t>
        </is>
      </c>
      <c r="C15" s="14" t="n">
        <v>159.0666667</v>
      </c>
      <c r="D15" s="14" t="n">
        <v>0</v>
      </c>
      <c r="E15" s="14" t="n">
        <v>1311</v>
      </c>
      <c r="F15" s="15" t="n">
        <v>1e+30</v>
      </c>
      <c r="G15" s="14" t="n">
        <v>1151.933333</v>
      </c>
    </row>
    <row r="16">
      <c r="A16" t="inlineStr">
        <is>
          <t>$F$8</t>
        </is>
      </c>
      <c r="B16" t="inlineStr">
        <is>
          <t>Верстат, год Використано</t>
        </is>
      </c>
      <c r="C16" s="14" t="n">
        <v>512</v>
      </c>
      <c r="D16" s="14" t="n">
        <v>16</v>
      </c>
      <c r="E16" s="14" t="n">
        <v>512</v>
      </c>
      <c r="F16" s="14" t="n">
        <v>174</v>
      </c>
      <c r="G16" s="14" t="n">
        <v>397.6666667</v>
      </c>
    </row>
    <row r="17">
      <c r="A17" t="inlineStr">
        <is>
          <t>$F$9</t>
        </is>
      </c>
      <c r="B17" t="inlineStr">
        <is>
          <t>Лакування, год Використано</t>
        </is>
      </c>
      <c r="C17" s="14" t="n">
        <v>775.4666667</v>
      </c>
      <c r="D17" s="14" t="n">
        <v>0</v>
      </c>
      <c r="E17" s="14" t="n">
        <v>1030</v>
      </c>
      <c r="F17" s="15" t="n">
        <v>1e+30</v>
      </c>
      <c r="G17" s="14" t="n">
        <v>254.5333333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2026-10-04T17:07:31Z</dcterms:created>
  <dcterms:modified xmlns:dcterms="http://purl.org/dc/terms/" xmlns:xsi="http://www.w3.org/2001/XMLSchema-instance" xsi:type="dcterms:W3CDTF">2026-10-04T17:07:31Z</dcterms:modified>
</cp:coreProperties>
</file>